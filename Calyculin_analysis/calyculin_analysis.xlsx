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Samuel\Dropbox (E22E27)\Pancreatic_organoids_lumen_paper\Measurements\Calyculin_analysis\"/>
    </mc:Choice>
  </mc:AlternateContent>
  <bookViews>
    <workbookView minimized="1" xWindow="0" yWindow="0" windowWidth="28800" windowHeight="13670"/>
  </bookViews>
  <sheets>
    <sheet name="Sheet1" sheetId="1" r:id="rId1"/>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51" i="1" l="1"/>
  <c r="P50" i="1"/>
  <c r="Q50" i="1"/>
  <c r="H50" i="1"/>
  <c r="I50" i="1"/>
  <c r="J50" i="1"/>
  <c r="K50" i="1"/>
  <c r="L50" i="1"/>
  <c r="M50" i="1"/>
  <c r="N50" i="1"/>
  <c r="O50" i="1"/>
  <c r="G50" i="1"/>
  <c r="N49" i="1"/>
  <c r="N48" i="1"/>
  <c r="N47" i="1"/>
  <c r="P46" i="1" l="1"/>
  <c r="Q46" i="1"/>
  <c r="H46" i="1"/>
  <c r="I46" i="1"/>
  <c r="J46" i="1"/>
  <c r="K46" i="1"/>
  <c r="L46" i="1"/>
  <c r="M46" i="1"/>
  <c r="N46" i="1"/>
  <c r="O46" i="1"/>
  <c r="G46" i="1"/>
  <c r="N45" i="1"/>
  <c r="N44" i="1"/>
  <c r="N43" i="1"/>
  <c r="N42" i="1"/>
  <c r="N41" i="1"/>
  <c r="N40" i="1"/>
  <c r="N39" i="1"/>
  <c r="N38" i="1"/>
  <c r="N37" i="1"/>
  <c r="N36" i="1"/>
  <c r="N35" i="1"/>
  <c r="N34" i="1"/>
  <c r="H32" i="1" l="1"/>
  <c r="I32" i="1"/>
  <c r="J32" i="1"/>
  <c r="K32" i="1"/>
  <c r="L32" i="1"/>
  <c r="M32" i="1"/>
  <c r="N32" i="1"/>
  <c r="O32" i="1"/>
  <c r="P32" i="1"/>
  <c r="Q32" i="1"/>
  <c r="G32" i="1"/>
  <c r="P30" i="1"/>
  <c r="Q30" i="1"/>
  <c r="H30" i="1"/>
  <c r="I30" i="1"/>
  <c r="J30" i="1"/>
  <c r="K30" i="1"/>
  <c r="L30" i="1"/>
  <c r="M30" i="1"/>
  <c r="N30" i="1"/>
  <c r="O30" i="1"/>
  <c r="G30" i="1"/>
  <c r="N4" i="1" l="1"/>
  <c r="L4" i="1"/>
  <c r="M4" i="1"/>
  <c r="O4" i="1"/>
  <c r="P4" i="1"/>
  <c r="Q4" i="1"/>
  <c r="K4" i="1"/>
  <c r="J4" i="1"/>
</calcChain>
</file>

<file path=xl/sharedStrings.xml><?xml version="1.0" encoding="utf-8"?>
<sst xmlns="http://schemas.openxmlformats.org/spreadsheetml/2006/main" count="800" uniqueCount="151">
  <si>
    <t>Sample name</t>
  </si>
  <si>
    <t>Batch_Well_ID</t>
  </si>
  <si>
    <t>Drug</t>
  </si>
  <si>
    <t>Drug concentration</t>
  </si>
  <si>
    <t>Day measurement</t>
  </si>
  <si>
    <t>Day drug added</t>
  </si>
  <si>
    <t>Fault line visible before drug addition</t>
  </si>
  <si>
    <t>Microlumens visible before drug addition</t>
  </si>
  <si>
    <t>Large lumens visible before drug addition</t>
  </si>
  <si>
    <t>Fault line visible after drug addition (Yes by default if large lumens visible)</t>
  </si>
  <si>
    <t>Microlumens visible after drug addition (Yes by default if large lumens visible)</t>
  </si>
  <si>
    <t>Large lumens visible after drug addition (Yes/No/Uncertain)</t>
  </si>
  <si>
    <t>The phenotype would, in normal conditions, reasonably be expected to form large lumens within the duration of the video</t>
  </si>
  <si>
    <t>Lumen phenotype (Clear/Dark/Mixed/Closed)</t>
  </si>
  <si>
    <t>Branching phenotype</t>
  </si>
  <si>
    <t>Blowup</t>
  </si>
  <si>
    <t>Notes</t>
  </si>
  <si>
    <t>221003_9591_24_well_Calyculin_D1_pos_1</t>
  </si>
  <si>
    <t>220919_9591_24_well_Calyculin_D1_pos_1</t>
  </si>
  <si>
    <t>220919_D1</t>
  </si>
  <si>
    <t>Yes</t>
  </si>
  <si>
    <t>High-branched</t>
  </si>
  <si>
    <t>No</t>
  </si>
  <si>
    <t>Calyculin</t>
  </si>
  <si>
    <t>1 nM</t>
  </si>
  <si>
    <t>10 to 14</t>
  </si>
  <si>
    <t>Dark</t>
  </si>
  <si>
    <t>Low to mid-branched</t>
  </si>
  <si>
    <t>Thickening pre-drug addition; Post-drug addition dark lumen formation. Beautiful sample.</t>
  </si>
  <si>
    <t>220919_9591_24_well_Calyculin_D1_pos_2</t>
  </si>
  <si>
    <t>Mid-branched</t>
  </si>
  <si>
    <t>Thickening pre-drug addition; Post-drug addition mainly dark lumen formation, maybe one clear microlumen.</t>
  </si>
  <si>
    <t>220919_9591_24_well_Calyculin_D1_pos_3</t>
  </si>
  <si>
    <t>Becomes too dense to reliably see anything</t>
  </si>
  <si>
    <t>Low-branched</t>
  </si>
  <si>
    <t>Probably still in extension before drug addition. Adding calyculin leads to contraction and bud formation, as well as dark lumen formation.</t>
  </si>
  <si>
    <t>220919_9591_24_well_Calyculin_D1_pos_4</t>
  </si>
  <si>
    <t>220919_9591_24_well_Calyculin_D1_pos_5</t>
  </si>
  <si>
    <t>The phenotype following drug addition would be expected to form lumens</t>
  </si>
  <si>
    <t>Closed</t>
  </si>
  <si>
    <t>Still in extension and very thin pre-drug addition. Post-drug addition, some thickening visible, but the branches are most likely still just 1- or 2-cell wide, so not enough to form a lumen.</t>
  </si>
  <si>
    <t>221003_D1</t>
  </si>
  <si>
    <t>10 to 13</t>
  </si>
  <si>
    <t>Mixed</t>
  </si>
  <si>
    <t>Very high-branched</t>
  </si>
  <si>
    <t>221003_9591_24_well_Calyculin_D1_pos_2</t>
  </si>
  <si>
    <t>Thin high-branched</t>
  </si>
  <si>
    <t>Very thin branch pre-drug addition. Followin calyculin addition, there is some retraction and branch rounding, but as expected for too thin branches, there is also some fragmentation. Branches are still too thin to allow lumen formation.</t>
  </si>
  <si>
    <t>221003_9591_24_well_Calyculin_D1_pos_3</t>
  </si>
  <si>
    <t>Thick low to mid-branched</t>
  </si>
  <si>
    <t>Some precursor fracture lines and darkening central population pre-drug addition. Post drug addition: dark lumen formation.</t>
  </si>
  <si>
    <t>221003_9591_24_well_Calyculin_D1_pos_4</t>
  </si>
  <si>
    <t>Thick very high-branched</t>
  </si>
  <si>
    <t>Pre-drug addition some branches still extending, some clear microlumens. Post-drug addition : extension stops and large lumens form: highly visible clear lumens but also a few darker ones.</t>
  </si>
  <si>
    <t>221003_9591_24_well_Calyculin_D1_pos_5</t>
  </si>
  <si>
    <t>Thick low-branched</t>
  </si>
  <si>
    <t>Pre-drug addition already some central population darkening. Post-drug addition : dark lumen formation. Indistinguishable form untreated cases.</t>
  </si>
  <si>
    <t>221003_9591_24_well_Calyculin_D1_pos_6</t>
  </si>
  <si>
    <t>Thin mid-to-high-branched</t>
  </si>
  <si>
    <t>Pre-drug addition: thin branches, still in extension, not exactly a phenotype I would expect to form a lumen. Post-drug addition: formation of buds and of lumens in the core of the organoid. Difficult to say if any additional thickening of the core upon calyculin addition. Very visible collagen cage leftovers upon retraction. Good example of transition from extension to thickening. Possible correlation link between thickening and lumen formation</t>
  </si>
  <si>
    <t>0.5 nM</t>
  </si>
  <si>
    <t>Clear</t>
  </si>
  <si>
    <t>Pre-drug addition : already lumen forming, difficult to say if it initiated as dark and cleared, or if clear and already released some cells. Therefore registered as Mixed. Post-drug addition : lumen expansion continues with floating cells shuttling. Hard to say if truly blowing up.</t>
  </si>
  <si>
    <t>Pre-drug addition already clear lumen visible. Post-drug addition: lumen expansion continues and some post-lumen formation cell release.</t>
  </si>
  <si>
    <t>220919_9591_24_well_Calyculin_D2_pos_1_top</t>
  </si>
  <si>
    <t>220919_9591_24_well_Calyculin_D2_pos_1_bot</t>
  </si>
  <si>
    <t>220919_D2</t>
  </si>
  <si>
    <t>220919_9591_24_well_Calyculin_D2_pos_2</t>
  </si>
  <si>
    <t>Thin very high-branched</t>
  </si>
  <si>
    <t>Pre-drug addition : thin very high branched still very much in Extension. Post-drug addition: Extension is stopped and branches are forced to thicken but still too thin to expect lumens.</t>
  </si>
  <si>
    <t>220919_9591_24_well_Calyculin_D2_pos_3</t>
  </si>
  <si>
    <t>Pre-drug: thin outmost branches in Extension. Post-drug : Extension is forcefully arrested and budding occurs, but no lumens visible. Would have expected some lumens in the core.</t>
  </si>
  <si>
    <t>220919_9591_24_well_Calyculin_D3_pos_1</t>
  </si>
  <si>
    <t>220919_D3</t>
  </si>
  <si>
    <t>Thin mid-branched</t>
  </si>
  <si>
    <t>Pre-drug: thin organoids with branches in extension. Post-drug: extension stopped, retraction and budding but too heavy retraction and fragmentation + clustering in a ball. Good example of minimal surface area reached.</t>
  </si>
  <si>
    <t>220919_9591_24_well_Calyculin_D3_pos_2</t>
  </si>
  <si>
    <t>Pre-drug : thin branches, some of them in Extension still. Post-drug : Extension stopped and budding starts. Would have expected at least some precursor fault lines, but nothing visible.</t>
  </si>
  <si>
    <t>221003_9591_24_well_Calyculin_D2_pos_1</t>
  </si>
  <si>
    <t>221003_D2</t>
  </si>
  <si>
    <t>Pre-drug : still a bit thin, finishing Extension. Post-drug: thickening, budding  and dark lumen formation.</t>
  </si>
  <si>
    <t>221003_9591_24_well_Calyculin_D2_pos_2</t>
  </si>
  <si>
    <t>Pre-drug: very thin branches in Extension. Post-drug: Extension is stopped and there is rounding but branches are not thick enough to allow a lumen.</t>
  </si>
  <si>
    <t>221003_9591_24_well_Calyculin_D2_pos_3</t>
  </si>
  <si>
    <t>Pre-drug: slight Extension still. Post-drug addition: retraction and rounding and some microlumen forming. Would have expected larger lumens, could be a timing issue.</t>
  </si>
  <si>
    <t>221003_9591_24_well_Calyculin_D2_pos_4</t>
  </si>
  <si>
    <t>Pre-drug: already thickening with dark lumen forming. Post-drug: dark lumen formation continues.</t>
  </si>
  <si>
    <t>221003_9591_24_well_Calyculin_D2_pos_5</t>
  </si>
  <si>
    <t>221003_9591_24_well_Calyculin_D2_pos_6</t>
  </si>
  <si>
    <t>Pre-drug: thickening. Post-drug: dark lumen formation. Looks like a regular sample</t>
  </si>
  <si>
    <t>221003_9591_24_well_Calyculin_D2_pos_7</t>
  </si>
  <si>
    <t>Pre-drug: thick core that shows some central population darkening, but outer branches still in Extension. Post-drug: heavy contraction and rounding and dark lumen formation.</t>
  </si>
  <si>
    <t>Thin low-branched</t>
  </si>
  <si>
    <t>Pre-drug: thin structure, seemingly between Onset or Extension. Post-drug: extension stopped and retraction but structure not thick enough to expect a lumen.</t>
  </si>
  <si>
    <t>221003_9591_24_well_Calyculin_D3_pos_1</t>
  </si>
  <si>
    <t>221003_D3</t>
  </si>
  <si>
    <t xml:space="preserve">No </t>
  </si>
  <si>
    <t>Pre-drug: thin branches in Extension. Post-drug: Extension stopped, rounding and budding but no lumen yet as branches still too thin.</t>
  </si>
  <si>
    <t>Thin low to mid-branched</t>
  </si>
  <si>
    <t>Pre-drug: thin branches in Extension. Post-drug: Extension stopped, rounding and budding but no lumen yet as branches still too thin. Good example of Calyculin effect.</t>
  </si>
  <si>
    <t>221003_9591_24_well_Calyculin_D3_pos_2</t>
  </si>
  <si>
    <t>221003_9591_24_well_Calyculin_D3_pos_3</t>
  </si>
  <si>
    <t>Pre-drug: thickening started with initial central population darkening. Post-drug: continuation of dark lumen formation.</t>
  </si>
  <si>
    <t>221003_9591_24_well_Calyculin_D3_pos_4</t>
  </si>
  <si>
    <t>Too dense to see.</t>
  </si>
  <si>
    <t>221003_9591_24_well_Calyculin_D3_pos_5</t>
  </si>
  <si>
    <t>Pre-drug: still extending, with a bit of darkening in central population. Post-drug: extension stopped, rounding, thickening, budding, and dark lumen formation.</t>
  </si>
  <si>
    <t>221003_9591_24_well_Calyculin_D3_pos_6</t>
  </si>
  <si>
    <t>221003_9591_24_well_Calyculin_D3_pos_7</t>
  </si>
  <si>
    <t>High to very high-branched</t>
  </si>
  <si>
    <t>Pre-drug: branches still in extension but some thicker core regions. Post-drug: extension stopped, rounding, budding and lumen formation in the core. Hard to say if pure dark or not, so labelled as mixed.</t>
  </si>
  <si>
    <t>221003_9591_24_well_Calyculin_D6_pos_1</t>
  </si>
  <si>
    <t>221003_D6</t>
  </si>
  <si>
    <t>Control</t>
  </si>
  <si>
    <t>Initial fault line that seems to open clear lumens. Partly obscured by monolayer on top.</t>
  </si>
  <si>
    <t>221003_9591_24_well_Calyculin_D6_pos_2</t>
  </si>
  <si>
    <t>Bit of an edge case: starts as quite thin but thickens quickly, which could allow lumen formation. By the end of the video however no big lumens yet visible. Could be counted as a "Forming large lumens" from a heuristic point of view.</t>
  </si>
  <si>
    <t>221003_9591_24_well_Calyculin_D6_pos_3</t>
  </si>
  <si>
    <t>Classic dark lumen formation.</t>
  </si>
  <si>
    <t>221003_9591_24_well_Calyculin_D6_pos_4</t>
  </si>
  <si>
    <t>Multiple clear lumens nucleation sites, bubbly shape.</t>
  </si>
  <si>
    <t>221003_9591_24_well_Calyculin_D6_pos_5</t>
  </si>
  <si>
    <t>Thin branches and organoid remains for very long in te Extension phase.</t>
  </si>
  <si>
    <t>221003_9591_24_well_Calyculin_D6_pos_6</t>
  </si>
  <si>
    <t>221003_9591_24_well_Calyculin_D6_pos_7</t>
  </si>
  <si>
    <t>Borderline expected to form a lumen given how some branches are thin. But clear lumens can and did form in the thicker regions.</t>
  </si>
  <si>
    <t>221003_9591_24_well_Calyculin_D6_pos_8</t>
  </si>
  <si>
    <t>Yse</t>
  </si>
  <si>
    <t>Thick mid to high-branched</t>
  </si>
  <si>
    <t>Thick organoid, that develops a lumen as evidenced by the progressive segregation of the central population. Most likely a dark lumen process that still appears quite light on the bright field.</t>
  </si>
  <si>
    <t>221003_9591_24_well_Calyculin_D6_pos_9</t>
  </si>
  <si>
    <t>Bit of Extension still visible in the beginning but then thickening and central population darkening plus some clear microlumen appearing.</t>
  </si>
  <si>
    <t>221003_9591_24_well_Calyculin_D6_pos_10</t>
  </si>
  <si>
    <t>Very good example of clear lumen formation in a thicker sample. The walls separate without any observable massive cell death.</t>
  </si>
  <si>
    <t>220919_D6</t>
  </si>
  <si>
    <t>220919_9591_24_well_Calyculin_D6_pos_1</t>
  </si>
  <si>
    <t>0 nM</t>
  </si>
  <si>
    <t>Thin high-branched phenotype in Extension until nearly timepoint t40/54, at which point thickening starts.</t>
  </si>
  <si>
    <t>220919_9591_24_well_Calyculin_D6_pos_2</t>
  </si>
  <si>
    <t>Fault lines and clear lumen forming early. Clear lumen keep expending as the video progresses.</t>
  </si>
  <si>
    <t>220919_9591_24_well_Calyculin_A6_pos_1</t>
  </si>
  <si>
    <t>220919_A6</t>
  </si>
  <si>
    <t>Starts thickening in the first part of the video. Nearly a full clear lumen over the organoid but probably a dark event visible.</t>
  </si>
  <si>
    <t>220919_9591_24_well_Calyculin_A6_pos_2</t>
  </si>
  <si>
    <t>Very thin high branched phenotype, that remains in extension for a very long time (about t46/54). Not expected to form lumens within the duration of the video.</t>
  </si>
  <si>
    <t>220919_9591_24_well_Calyculin_A6_pos_3</t>
  </si>
  <si>
    <t>Initially thin branches that thicken and start exhibiting dark lumen formation.</t>
  </si>
  <si>
    <t>220919_9591_24_well_Calyculin_A6_pos_4</t>
  </si>
  <si>
    <t>220919_9591_24_well_Calyculin_A6_pos_5</t>
  </si>
  <si>
    <t>Thick structure. Difficult to see for sure but seemingly dark lumens forming.</t>
  </si>
  <si>
    <t>Still some thin extending branches before drug adddition. Rounding following drug-addition and some lumen forming. Difficult to say if really large connected lumens forming due to the cell monolayer above the organoid, but seems plausible from the observation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</si>
</sst>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7">
    <fill>
      <patternFill patternType="none"/>
    </fill>
    <fill>
      <patternFill patternType="gray125"/>
    </fill>
    <fill>
      <patternFill patternType="solid">
        <fgColor rgb="FFFF0000"/>
        <bgColor indexed="64"/>
      </patternFill>
    </fill>
    <fill>
      <patternFill patternType="solid">
        <fgColor rgb="FFFFFF00"/>
        <bgColor indexed="64"/>
      </patternFill>
    </fill>
    <fill>
      <patternFill patternType="solid">
        <fgColor theme="5"/>
        <bgColor indexed="64"/>
      </patternFill>
    </fill>
    <fill>
      <patternFill patternType="solid">
        <fgColor theme="4"/>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applyNumberFormat="1"/>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0" borderId="0" xfId="0" applyFill="1"/>
  </cellXfs>
  <cellStyles count="1">
    <cellStyle name="Normal" xfId="0" builtinId="0"/>
  </cellStyles>
  <dxfs count="19">
    <dxf>
      <fill>
        <patternFill>
          <bgColor rgb="FFFF0000"/>
        </patternFill>
      </fill>
    </dxf>
    <dxf>
      <fill>
        <patternFill>
          <bgColor rgb="FFFF0000"/>
        </patternFill>
      </fill>
    </dxf>
    <dxf>
      <fill>
        <patternFill>
          <bgColor rgb="FFFF0000"/>
        </patternFill>
      </fill>
    </dxf>
    <dxf>
      <fill>
        <patternFill>
          <bgColor theme="5"/>
        </patternFill>
      </fill>
    </dxf>
    <dxf>
      <fill>
        <patternFill>
          <bgColor theme="9" tint="0.59996337778862885"/>
        </patternFill>
      </fill>
    </dxf>
    <dxf>
      <fill>
        <patternFill>
          <bgColor theme="9" tint="0.59996337778862885"/>
        </patternFill>
      </fill>
    </dxf>
    <dxf>
      <fill>
        <patternFill>
          <bgColor theme="5"/>
        </patternFill>
      </fill>
    </dxf>
    <dxf>
      <fill>
        <patternFill>
          <bgColor rgb="FFFF0000"/>
        </patternFill>
      </fill>
    </dxf>
    <dxf>
      <fill>
        <patternFill>
          <bgColor theme="5"/>
        </patternFill>
      </fill>
    </dxf>
    <dxf>
      <fill>
        <patternFill>
          <bgColor theme="9" tint="0.59996337778862885"/>
        </patternFill>
      </fill>
    </dxf>
    <dxf>
      <fill>
        <patternFill>
          <bgColor rgb="FFFF0000"/>
        </patternFill>
      </fill>
    </dxf>
    <dxf>
      <fill>
        <patternFill>
          <bgColor theme="5"/>
        </patternFill>
      </fill>
    </dxf>
    <dxf>
      <fill>
        <patternFill>
          <bgColor theme="9" tint="0.59996337778862885"/>
        </patternFill>
      </fill>
    </dxf>
    <dxf>
      <fill>
        <patternFill>
          <bgColor theme="9" tint="0.59996337778862885"/>
        </patternFill>
      </fill>
    </dxf>
    <dxf>
      <fill>
        <patternFill>
          <bgColor theme="5"/>
        </patternFill>
      </fill>
    </dxf>
    <dxf>
      <fill>
        <patternFill>
          <bgColor theme="5"/>
        </patternFill>
      </fill>
    </dxf>
    <dxf>
      <fill>
        <patternFill>
          <bgColor theme="9" tint="0.59996337778862885"/>
        </patternFill>
      </fill>
    </dxf>
    <dxf>
      <fill>
        <patternFill>
          <bgColor theme="9"/>
        </patternFill>
      </fill>
    </dxf>
    <dxf>
      <fill>
        <patternFill>
          <bgColor theme="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51"/>
  <sheetViews>
    <sheetView tabSelected="1" zoomScale="70" zoomScaleNormal="70" workbookViewId="0">
      <pane xSplit="7" ySplit="22" topLeftCell="Q23" activePane="bottomRight" state="frozen"/>
      <selection pane="topRight" activeCell="H1" sqref="H1"/>
      <selection pane="bottomLeft" activeCell="A23" sqref="A23"/>
      <selection pane="bottomRight" activeCell="R14" sqref="R14"/>
    </sheetView>
  </sheetViews>
  <sheetFormatPr defaultRowHeight="14.5" x14ac:dyDescent="0.35"/>
  <cols>
    <col min="1" max="1" width="37.1796875" bestFit="1" customWidth="1"/>
    <col min="2" max="2" width="13.08984375" bestFit="1" customWidth="1"/>
    <col min="4" max="4" width="17" bestFit="1" customWidth="1"/>
    <col min="5" max="5" width="16.1796875" bestFit="1" customWidth="1"/>
    <col min="6" max="6" width="14.08984375" bestFit="1" customWidth="1"/>
    <col min="7" max="7" width="32.08984375" bestFit="1" customWidth="1"/>
    <col min="8" max="8" width="35.54296875" bestFit="1" customWidth="1"/>
    <col min="9" max="9" width="35.6328125" bestFit="1" customWidth="1"/>
    <col min="10" max="10" width="43.1796875" customWidth="1"/>
    <col min="11" max="11" width="40.6328125" customWidth="1"/>
    <col min="12" max="12" width="43.81640625" customWidth="1"/>
    <col min="13" max="14" width="55" customWidth="1"/>
    <col min="15" max="15" width="36.90625" customWidth="1"/>
    <col min="16" max="16" width="19.453125" customWidth="1"/>
  </cols>
  <sheetData>
    <row r="1" spans="1:18" x14ac:dyDescent="0.35">
      <c r="A1" t="s">
        <v>0</v>
      </c>
      <c r="B1" t="s">
        <v>1</v>
      </c>
      <c r="C1" t="s">
        <v>2</v>
      </c>
      <c r="D1" t="s">
        <v>3</v>
      </c>
      <c r="E1" s="1" t="s">
        <v>4</v>
      </c>
      <c r="F1" t="s">
        <v>5</v>
      </c>
      <c r="G1" t="s">
        <v>6</v>
      </c>
      <c r="H1" t="s">
        <v>7</v>
      </c>
      <c r="I1" t="s">
        <v>8</v>
      </c>
      <c r="J1" t="s">
        <v>9</v>
      </c>
      <c r="K1" t="s">
        <v>10</v>
      </c>
      <c r="L1" t="s">
        <v>11</v>
      </c>
      <c r="M1" t="s">
        <v>12</v>
      </c>
      <c r="N1" t="s">
        <v>38</v>
      </c>
      <c r="O1" t="s">
        <v>13</v>
      </c>
      <c r="P1" t="s">
        <v>14</v>
      </c>
      <c r="Q1" t="s">
        <v>15</v>
      </c>
      <c r="R1" t="s">
        <v>16</v>
      </c>
    </row>
    <row r="2" spans="1:18" x14ac:dyDescent="0.35">
      <c r="A2" s="3" t="s">
        <v>18</v>
      </c>
      <c r="B2" s="3" t="s">
        <v>19</v>
      </c>
      <c r="C2" t="s">
        <v>23</v>
      </c>
      <c r="D2" t="s">
        <v>24</v>
      </c>
      <c r="E2" t="s">
        <v>25</v>
      </c>
      <c r="F2">
        <v>11</v>
      </c>
      <c r="G2" t="s">
        <v>22</v>
      </c>
      <c r="H2" t="s">
        <v>22</v>
      </c>
      <c r="I2" t="s">
        <v>22</v>
      </c>
      <c r="J2" t="s">
        <v>20</v>
      </c>
      <c r="K2" t="s">
        <v>20</v>
      </c>
      <c r="L2" t="s">
        <v>20</v>
      </c>
      <c r="M2" t="s">
        <v>20</v>
      </c>
      <c r="N2" t="s">
        <v>20</v>
      </c>
      <c r="O2" t="s">
        <v>26</v>
      </c>
      <c r="P2" t="s">
        <v>27</v>
      </c>
      <c r="Q2" t="s">
        <v>22</v>
      </c>
      <c r="R2" t="s">
        <v>28</v>
      </c>
    </row>
    <row r="3" spans="1:18" x14ac:dyDescent="0.35">
      <c r="A3" s="3" t="s">
        <v>29</v>
      </c>
      <c r="B3" s="3" t="s">
        <v>19</v>
      </c>
      <c r="C3" t="s">
        <v>23</v>
      </c>
      <c r="D3" t="s">
        <v>24</v>
      </c>
      <c r="E3" t="s">
        <v>25</v>
      </c>
      <c r="F3">
        <v>11</v>
      </c>
      <c r="G3" t="s">
        <v>22</v>
      </c>
      <c r="H3" t="s">
        <v>22</v>
      </c>
      <c r="I3" t="s">
        <v>22</v>
      </c>
      <c r="J3" t="s">
        <v>20</v>
      </c>
      <c r="K3" t="s">
        <v>20</v>
      </c>
      <c r="L3" t="s">
        <v>20</v>
      </c>
      <c r="M3" t="s">
        <v>20</v>
      </c>
      <c r="N3" t="s">
        <v>20</v>
      </c>
      <c r="O3" t="s">
        <v>26</v>
      </c>
      <c r="P3" t="s">
        <v>30</v>
      </c>
      <c r="Q3" t="s">
        <v>22</v>
      </c>
      <c r="R3" t="s">
        <v>31</v>
      </c>
    </row>
    <row r="4" spans="1:18" x14ac:dyDescent="0.35">
      <c r="A4" s="3" t="s">
        <v>32</v>
      </c>
      <c r="B4" s="3" t="s">
        <v>19</v>
      </c>
      <c r="C4" t="s">
        <v>23</v>
      </c>
      <c r="D4" t="s">
        <v>24</v>
      </c>
      <c r="E4" t="s">
        <v>25</v>
      </c>
      <c r="F4">
        <v>11</v>
      </c>
      <c r="G4" t="s">
        <v>22</v>
      </c>
      <c r="H4" t="s">
        <v>22</v>
      </c>
      <c r="I4" t="s">
        <v>22</v>
      </c>
      <c r="J4" t="e">
        <f>NA()</f>
        <v>#N/A</v>
      </c>
      <c r="K4" t="e">
        <f>NA()</f>
        <v>#N/A</v>
      </c>
      <c r="L4" t="e">
        <f>NA()</f>
        <v>#N/A</v>
      </c>
      <c r="M4" t="e">
        <f>NA()</f>
        <v>#N/A</v>
      </c>
      <c r="N4" t="e">
        <f>NA()</f>
        <v>#N/A</v>
      </c>
      <c r="O4" t="e">
        <f>NA()</f>
        <v>#N/A</v>
      </c>
      <c r="P4" t="e">
        <f>NA()</f>
        <v>#N/A</v>
      </c>
      <c r="Q4" t="e">
        <f>NA()</f>
        <v>#N/A</v>
      </c>
      <c r="R4" t="s">
        <v>33</v>
      </c>
    </row>
    <row r="5" spans="1:18" x14ac:dyDescent="0.35">
      <c r="A5" s="3" t="s">
        <v>36</v>
      </c>
      <c r="B5" s="3" t="s">
        <v>19</v>
      </c>
      <c r="C5" t="s">
        <v>23</v>
      </c>
      <c r="D5" t="s">
        <v>24</v>
      </c>
      <c r="E5" t="s">
        <v>25</v>
      </c>
      <c r="F5">
        <v>11</v>
      </c>
      <c r="G5" t="s">
        <v>22</v>
      </c>
      <c r="H5" t="s">
        <v>22</v>
      </c>
      <c r="I5" t="s">
        <v>22</v>
      </c>
      <c r="J5" t="s">
        <v>20</v>
      </c>
      <c r="K5" t="s">
        <v>20</v>
      </c>
      <c r="L5" t="s">
        <v>20</v>
      </c>
      <c r="M5" t="s">
        <v>22</v>
      </c>
      <c r="N5" t="s">
        <v>20</v>
      </c>
      <c r="O5" t="s">
        <v>26</v>
      </c>
      <c r="P5" t="s">
        <v>34</v>
      </c>
      <c r="Q5" t="s">
        <v>22</v>
      </c>
      <c r="R5" t="s">
        <v>35</v>
      </c>
    </row>
    <row r="6" spans="1:18" x14ac:dyDescent="0.35">
      <c r="A6" s="3" t="s">
        <v>37</v>
      </c>
      <c r="B6" s="3" t="s">
        <v>19</v>
      </c>
      <c r="C6" t="s">
        <v>23</v>
      </c>
      <c r="D6" t="s">
        <v>24</v>
      </c>
      <c r="E6" t="s">
        <v>25</v>
      </c>
      <c r="F6">
        <v>11</v>
      </c>
      <c r="G6" t="s">
        <v>22</v>
      </c>
      <c r="H6" t="s">
        <v>22</v>
      </c>
      <c r="I6" t="s">
        <v>22</v>
      </c>
      <c r="J6" t="s">
        <v>22</v>
      </c>
      <c r="K6" t="s">
        <v>22</v>
      </c>
      <c r="L6" t="s">
        <v>22</v>
      </c>
      <c r="M6" t="s">
        <v>22</v>
      </c>
      <c r="N6" t="s">
        <v>22</v>
      </c>
      <c r="O6" t="s">
        <v>39</v>
      </c>
      <c r="P6" t="s">
        <v>21</v>
      </c>
      <c r="Q6" t="s">
        <v>22</v>
      </c>
      <c r="R6" t="s">
        <v>40</v>
      </c>
    </row>
    <row r="7" spans="1:18" x14ac:dyDescent="0.35">
      <c r="A7" s="4" t="s">
        <v>17</v>
      </c>
      <c r="B7" s="4" t="s">
        <v>41</v>
      </c>
      <c r="C7" t="s">
        <v>23</v>
      </c>
      <c r="D7" t="s">
        <v>24</v>
      </c>
      <c r="E7" t="s">
        <v>42</v>
      </c>
      <c r="F7">
        <v>11</v>
      </c>
      <c r="G7" t="s">
        <v>22</v>
      </c>
      <c r="H7" t="s">
        <v>22</v>
      </c>
      <c r="I7" t="s">
        <v>22</v>
      </c>
      <c r="J7" t="s">
        <v>20</v>
      </c>
      <c r="K7" t="s">
        <v>20</v>
      </c>
      <c r="L7" s="7" t="s">
        <v>20</v>
      </c>
      <c r="M7" t="s">
        <v>20</v>
      </c>
      <c r="N7" t="s">
        <v>20</v>
      </c>
      <c r="O7" t="s">
        <v>43</v>
      </c>
      <c r="P7" t="s">
        <v>44</v>
      </c>
      <c r="Q7" t="s">
        <v>22</v>
      </c>
      <c r="R7" s="2" t="s">
        <v>150</v>
      </c>
    </row>
    <row r="8" spans="1:18" x14ac:dyDescent="0.35">
      <c r="A8" s="4" t="s">
        <v>45</v>
      </c>
      <c r="B8" s="4" t="s">
        <v>41</v>
      </c>
      <c r="C8" t="s">
        <v>23</v>
      </c>
      <c r="D8" t="s">
        <v>24</v>
      </c>
      <c r="E8" t="s">
        <v>42</v>
      </c>
      <c r="F8">
        <v>11</v>
      </c>
      <c r="G8" t="s">
        <v>22</v>
      </c>
      <c r="H8" t="s">
        <v>22</v>
      </c>
      <c r="I8" t="s">
        <v>22</v>
      </c>
      <c r="J8" t="s">
        <v>22</v>
      </c>
      <c r="K8" t="s">
        <v>22</v>
      </c>
      <c r="L8" t="s">
        <v>22</v>
      </c>
      <c r="M8" t="s">
        <v>22</v>
      </c>
      <c r="N8" t="s">
        <v>22</v>
      </c>
      <c r="O8" t="s">
        <v>39</v>
      </c>
      <c r="P8" t="s">
        <v>46</v>
      </c>
      <c r="Q8" t="s">
        <v>22</v>
      </c>
      <c r="R8" t="s">
        <v>47</v>
      </c>
    </row>
    <row r="9" spans="1:18" x14ac:dyDescent="0.35">
      <c r="A9" s="4" t="s">
        <v>48</v>
      </c>
      <c r="B9" s="4" t="s">
        <v>41</v>
      </c>
      <c r="C9" t="s">
        <v>23</v>
      </c>
      <c r="D9" t="s">
        <v>24</v>
      </c>
      <c r="E9" t="s">
        <v>42</v>
      </c>
      <c r="F9">
        <v>11</v>
      </c>
      <c r="G9" t="s">
        <v>20</v>
      </c>
      <c r="H9" t="s">
        <v>20</v>
      </c>
      <c r="I9" t="s">
        <v>20</v>
      </c>
      <c r="J9" t="s">
        <v>20</v>
      </c>
      <c r="K9" t="s">
        <v>20</v>
      </c>
      <c r="L9" t="s">
        <v>20</v>
      </c>
      <c r="M9" t="s">
        <v>20</v>
      </c>
      <c r="N9" t="s">
        <v>20</v>
      </c>
      <c r="O9" t="s">
        <v>26</v>
      </c>
      <c r="P9" t="s">
        <v>49</v>
      </c>
      <c r="Q9" t="s">
        <v>22</v>
      </c>
      <c r="R9" t="s">
        <v>50</v>
      </c>
    </row>
    <row r="10" spans="1:18" x14ac:dyDescent="0.35">
      <c r="A10" s="4" t="s">
        <v>51</v>
      </c>
      <c r="B10" s="4" t="s">
        <v>41</v>
      </c>
      <c r="C10" t="s">
        <v>23</v>
      </c>
      <c r="D10" t="s">
        <v>24</v>
      </c>
      <c r="E10" t="s">
        <v>42</v>
      </c>
      <c r="F10">
        <v>11</v>
      </c>
      <c r="G10" t="s">
        <v>22</v>
      </c>
      <c r="H10" t="s">
        <v>20</v>
      </c>
      <c r="I10" t="s">
        <v>22</v>
      </c>
      <c r="J10" t="s">
        <v>20</v>
      </c>
      <c r="K10" t="s">
        <v>20</v>
      </c>
      <c r="L10" t="s">
        <v>20</v>
      </c>
      <c r="M10" t="s">
        <v>20</v>
      </c>
      <c r="N10" t="s">
        <v>20</v>
      </c>
      <c r="O10" t="s">
        <v>43</v>
      </c>
      <c r="P10" t="s">
        <v>52</v>
      </c>
      <c r="Q10" t="s">
        <v>22</v>
      </c>
      <c r="R10" t="s">
        <v>53</v>
      </c>
    </row>
    <row r="11" spans="1:18" x14ac:dyDescent="0.35">
      <c r="A11" s="4" t="s">
        <v>54</v>
      </c>
      <c r="B11" s="4" t="s">
        <v>41</v>
      </c>
      <c r="C11" t="s">
        <v>23</v>
      </c>
      <c r="D11" t="s">
        <v>24</v>
      </c>
      <c r="E11" t="s">
        <v>42</v>
      </c>
      <c r="F11">
        <v>11</v>
      </c>
      <c r="G11" t="s">
        <v>20</v>
      </c>
      <c r="H11" t="s">
        <v>20</v>
      </c>
      <c r="I11" t="s">
        <v>22</v>
      </c>
      <c r="J11" t="s">
        <v>20</v>
      </c>
      <c r="K11" t="s">
        <v>20</v>
      </c>
      <c r="L11" t="s">
        <v>20</v>
      </c>
      <c r="M11" t="s">
        <v>20</v>
      </c>
      <c r="N11" t="s">
        <v>20</v>
      </c>
      <c r="O11" t="s">
        <v>26</v>
      </c>
      <c r="P11" t="s">
        <v>55</v>
      </c>
      <c r="Q11" t="s">
        <v>22</v>
      </c>
      <c r="R11" t="s">
        <v>56</v>
      </c>
    </row>
    <row r="12" spans="1:18" x14ac:dyDescent="0.35">
      <c r="A12" s="4" t="s">
        <v>57</v>
      </c>
      <c r="B12" s="4" t="s">
        <v>41</v>
      </c>
      <c r="C12" t="s">
        <v>23</v>
      </c>
      <c r="D12" t="s">
        <v>24</v>
      </c>
      <c r="E12" t="s">
        <v>42</v>
      </c>
      <c r="F12">
        <v>11</v>
      </c>
      <c r="G12" t="s">
        <v>22</v>
      </c>
      <c r="H12" t="s">
        <v>22</v>
      </c>
      <c r="I12" t="s">
        <v>22</v>
      </c>
      <c r="J12" t="s">
        <v>20</v>
      </c>
      <c r="K12" t="s">
        <v>20</v>
      </c>
      <c r="L12" t="s">
        <v>20</v>
      </c>
      <c r="M12" t="s">
        <v>22</v>
      </c>
      <c r="N12" t="s">
        <v>20</v>
      </c>
      <c r="O12" t="s">
        <v>43</v>
      </c>
      <c r="P12" t="s">
        <v>58</v>
      </c>
      <c r="Q12" t="s">
        <v>22</v>
      </c>
      <c r="R12" t="s">
        <v>59</v>
      </c>
    </row>
    <row r="13" spans="1:18" x14ac:dyDescent="0.35">
      <c r="A13" s="3" t="s">
        <v>64</v>
      </c>
      <c r="B13" s="3" t="s">
        <v>66</v>
      </c>
      <c r="C13" t="s">
        <v>23</v>
      </c>
      <c r="D13" t="s">
        <v>60</v>
      </c>
      <c r="E13" t="s">
        <v>25</v>
      </c>
      <c r="F13">
        <v>11</v>
      </c>
      <c r="G13" t="s">
        <v>20</v>
      </c>
      <c r="H13" t="s">
        <v>20</v>
      </c>
      <c r="I13" t="s">
        <v>20</v>
      </c>
      <c r="J13" t="s">
        <v>20</v>
      </c>
      <c r="K13" t="s">
        <v>20</v>
      </c>
      <c r="L13" t="s">
        <v>20</v>
      </c>
      <c r="M13" t="s">
        <v>20</v>
      </c>
      <c r="N13" t="s">
        <v>20</v>
      </c>
      <c r="O13" t="s">
        <v>43</v>
      </c>
      <c r="P13" t="s">
        <v>55</v>
      </c>
      <c r="Q13" t="s">
        <v>20</v>
      </c>
      <c r="R13" t="s">
        <v>62</v>
      </c>
    </row>
    <row r="14" spans="1:18" x14ac:dyDescent="0.35">
      <c r="A14" s="3" t="s">
        <v>65</v>
      </c>
      <c r="B14" s="3" t="s">
        <v>66</v>
      </c>
      <c r="C14" t="s">
        <v>23</v>
      </c>
      <c r="D14" t="s">
        <v>60</v>
      </c>
      <c r="E14" t="s">
        <v>25</v>
      </c>
      <c r="F14">
        <v>11</v>
      </c>
      <c r="G14" t="s">
        <v>20</v>
      </c>
      <c r="H14" t="s">
        <v>20</v>
      </c>
      <c r="I14" t="s">
        <v>20</v>
      </c>
      <c r="J14" t="s">
        <v>20</v>
      </c>
      <c r="K14" t="s">
        <v>20</v>
      </c>
      <c r="L14" t="s">
        <v>20</v>
      </c>
      <c r="M14" t="s">
        <v>20</v>
      </c>
      <c r="N14" t="s">
        <v>20</v>
      </c>
      <c r="O14" t="s">
        <v>61</v>
      </c>
      <c r="P14" t="s">
        <v>55</v>
      </c>
      <c r="Q14" t="s">
        <v>22</v>
      </c>
      <c r="R14" t="s">
        <v>63</v>
      </c>
    </row>
    <row r="15" spans="1:18" x14ac:dyDescent="0.35">
      <c r="A15" s="3" t="s">
        <v>67</v>
      </c>
      <c r="B15" s="3" t="s">
        <v>66</v>
      </c>
      <c r="C15" t="s">
        <v>23</v>
      </c>
      <c r="D15" t="s">
        <v>60</v>
      </c>
      <c r="E15" t="s">
        <v>25</v>
      </c>
      <c r="F15">
        <v>11</v>
      </c>
      <c r="G15" t="s">
        <v>22</v>
      </c>
      <c r="H15" t="s">
        <v>22</v>
      </c>
      <c r="I15" t="s">
        <v>22</v>
      </c>
      <c r="J15" t="s">
        <v>22</v>
      </c>
      <c r="K15" t="s">
        <v>22</v>
      </c>
      <c r="L15" t="s">
        <v>22</v>
      </c>
      <c r="M15" t="s">
        <v>22</v>
      </c>
      <c r="N15" t="s">
        <v>22</v>
      </c>
      <c r="O15" t="s">
        <v>39</v>
      </c>
      <c r="P15" t="s">
        <v>68</v>
      </c>
      <c r="Q15" t="s">
        <v>22</v>
      </c>
      <c r="R15" t="s">
        <v>69</v>
      </c>
    </row>
    <row r="16" spans="1:18" x14ac:dyDescent="0.35">
      <c r="A16" s="3" t="s">
        <v>70</v>
      </c>
      <c r="B16" s="3" t="s">
        <v>66</v>
      </c>
      <c r="C16" t="s">
        <v>23</v>
      </c>
      <c r="D16" t="s">
        <v>60</v>
      </c>
      <c r="E16" t="s">
        <v>25</v>
      </c>
      <c r="F16">
        <v>11</v>
      </c>
      <c r="G16" t="s">
        <v>22</v>
      </c>
      <c r="H16" t="s">
        <v>22</v>
      </c>
      <c r="I16" t="s">
        <v>22</v>
      </c>
      <c r="J16" t="s">
        <v>22</v>
      </c>
      <c r="K16" t="s">
        <v>22</v>
      </c>
      <c r="L16" t="s">
        <v>22</v>
      </c>
      <c r="M16" t="s">
        <v>22</v>
      </c>
      <c r="N16" t="s">
        <v>20</v>
      </c>
      <c r="O16" t="s">
        <v>39</v>
      </c>
      <c r="P16" t="s">
        <v>30</v>
      </c>
      <c r="Q16" t="s">
        <v>22</v>
      </c>
      <c r="R16" t="s">
        <v>71</v>
      </c>
    </row>
    <row r="17" spans="1:18" x14ac:dyDescent="0.35">
      <c r="A17" s="4" t="s">
        <v>72</v>
      </c>
      <c r="B17" s="4" t="s">
        <v>73</v>
      </c>
      <c r="C17" t="s">
        <v>23</v>
      </c>
      <c r="D17" t="s">
        <v>60</v>
      </c>
      <c r="E17" t="s">
        <v>25</v>
      </c>
      <c r="F17">
        <v>11</v>
      </c>
      <c r="G17" t="s">
        <v>22</v>
      </c>
      <c r="H17" t="s">
        <v>22</v>
      </c>
      <c r="I17" t="s">
        <v>22</v>
      </c>
      <c r="J17" t="s">
        <v>22</v>
      </c>
      <c r="K17" t="s">
        <v>22</v>
      </c>
      <c r="L17" t="s">
        <v>22</v>
      </c>
      <c r="M17" t="s">
        <v>22</v>
      </c>
      <c r="N17" t="s">
        <v>22</v>
      </c>
      <c r="O17" t="s">
        <v>39</v>
      </c>
      <c r="P17" t="s">
        <v>74</v>
      </c>
      <c r="Q17" t="s">
        <v>22</v>
      </c>
      <c r="R17" t="s">
        <v>75</v>
      </c>
    </row>
    <row r="18" spans="1:18" x14ac:dyDescent="0.35">
      <c r="A18" s="4" t="s">
        <v>76</v>
      </c>
      <c r="B18" s="4" t="s">
        <v>73</v>
      </c>
      <c r="C18" t="s">
        <v>23</v>
      </c>
      <c r="D18" t="s">
        <v>60</v>
      </c>
      <c r="E18" t="s">
        <v>25</v>
      </c>
      <c r="F18">
        <v>11</v>
      </c>
      <c r="G18" t="s">
        <v>22</v>
      </c>
      <c r="H18" t="s">
        <v>22</v>
      </c>
      <c r="I18" t="s">
        <v>22</v>
      </c>
      <c r="J18" t="s">
        <v>22</v>
      </c>
      <c r="K18" t="s">
        <v>22</v>
      </c>
      <c r="L18" t="s">
        <v>22</v>
      </c>
      <c r="M18" t="s">
        <v>22</v>
      </c>
      <c r="N18" t="s">
        <v>20</v>
      </c>
      <c r="O18" t="s">
        <v>39</v>
      </c>
      <c r="P18" t="s">
        <v>74</v>
      </c>
      <c r="Q18" t="s">
        <v>22</v>
      </c>
      <c r="R18" t="s">
        <v>77</v>
      </c>
    </row>
    <row r="19" spans="1:18" x14ac:dyDescent="0.35">
      <c r="A19" s="3" t="s">
        <v>78</v>
      </c>
      <c r="B19" s="3" t="s">
        <v>79</v>
      </c>
      <c r="C19" t="s">
        <v>23</v>
      </c>
      <c r="D19" t="s">
        <v>60</v>
      </c>
      <c r="E19" t="s">
        <v>42</v>
      </c>
      <c r="F19">
        <v>11</v>
      </c>
      <c r="G19" t="s">
        <v>22</v>
      </c>
      <c r="H19" t="s">
        <v>22</v>
      </c>
      <c r="I19" t="s">
        <v>22</v>
      </c>
      <c r="J19" t="s">
        <v>20</v>
      </c>
      <c r="K19" t="s">
        <v>20</v>
      </c>
      <c r="L19" t="s">
        <v>20</v>
      </c>
      <c r="M19" t="s">
        <v>20</v>
      </c>
      <c r="N19" t="s">
        <v>20</v>
      </c>
      <c r="O19" t="s">
        <v>26</v>
      </c>
      <c r="P19" t="s">
        <v>27</v>
      </c>
      <c r="Q19" t="s">
        <v>22</v>
      </c>
      <c r="R19" t="s">
        <v>80</v>
      </c>
    </row>
    <row r="20" spans="1:18" x14ac:dyDescent="0.35">
      <c r="A20" s="3" t="s">
        <v>81</v>
      </c>
      <c r="B20" s="3" t="s">
        <v>79</v>
      </c>
      <c r="C20" t="s">
        <v>23</v>
      </c>
      <c r="D20" t="s">
        <v>60</v>
      </c>
      <c r="E20" t="s">
        <v>42</v>
      </c>
      <c r="F20">
        <v>11</v>
      </c>
      <c r="G20" t="s">
        <v>22</v>
      </c>
      <c r="H20" t="s">
        <v>22</v>
      </c>
      <c r="I20" t="s">
        <v>22</v>
      </c>
      <c r="J20" t="s">
        <v>22</v>
      </c>
      <c r="K20" t="s">
        <v>22</v>
      </c>
      <c r="L20" t="s">
        <v>22</v>
      </c>
      <c r="M20" t="s">
        <v>22</v>
      </c>
      <c r="N20" t="s">
        <v>22</v>
      </c>
      <c r="O20" t="s">
        <v>39</v>
      </c>
      <c r="P20" t="s">
        <v>68</v>
      </c>
      <c r="Q20" t="s">
        <v>22</v>
      </c>
      <c r="R20" t="s">
        <v>82</v>
      </c>
    </row>
    <row r="21" spans="1:18" x14ac:dyDescent="0.35">
      <c r="A21" s="3" t="s">
        <v>83</v>
      </c>
      <c r="B21" s="3" t="s">
        <v>79</v>
      </c>
      <c r="C21" t="s">
        <v>23</v>
      </c>
      <c r="D21" t="s">
        <v>60</v>
      </c>
      <c r="E21" t="s">
        <v>42</v>
      </c>
      <c r="F21">
        <v>11</v>
      </c>
      <c r="G21" t="s">
        <v>22</v>
      </c>
      <c r="H21" t="s">
        <v>22</v>
      </c>
      <c r="I21" t="s">
        <v>22</v>
      </c>
      <c r="J21" t="s">
        <v>20</v>
      </c>
      <c r="K21" t="s">
        <v>20</v>
      </c>
      <c r="L21" t="s">
        <v>22</v>
      </c>
      <c r="M21" t="s">
        <v>20</v>
      </c>
      <c r="N21" t="s">
        <v>20</v>
      </c>
      <c r="O21" t="s">
        <v>43</v>
      </c>
      <c r="P21" t="s">
        <v>44</v>
      </c>
      <c r="Q21" t="s">
        <v>22</v>
      </c>
      <c r="R21" t="s">
        <v>84</v>
      </c>
    </row>
    <row r="22" spans="1:18" x14ac:dyDescent="0.35">
      <c r="A22" s="3" t="s">
        <v>85</v>
      </c>
      <c r="B22" s="3" t="s">
        <v>79</v>
      </c>
      <c r="C22" t="s">
        <v>23</v>
      </c>
      <c r="D22" t="s">
        <v>60</v>
      </c>
      <c r="E22" t="s">
        <v>42</v>
      </c>
      <c r="F22">
        <v>11</v>
      </c>
      <c r="G22" t="s">
        <v>20</v>
      </c>
      <c r="H22" t="s">
        <v>20</v>
      </c>
      <c r="I22" t="s">
        <v>20</v>
      </c>
      <c r="J22" t="s">
        <v>20</v>
      </c>
      <c r="K22" t="s">
        <v>20</v>
      </c>
      <c r="L22" t="s">
        <v>20</v>
      </c>
      <c r="M22" t="s">
        <v>20</v>
      </c>
      <c r="N22" t="s">
        <v>20</v>
      </c>
      <c r="O22" t="s">
        <v>26</v>
      </c>
      <c r="P22" t="s">
        <v>34</v>
      </c>
      <c r="Q22" t="s">
        <v>22</v>
      </c>
      <c r="R22" t="s">
        <v>86</v>
      </c>
    </row>
    <row r="23" spans="1:18" x14ac:dyDescent="0.35">
      <c r="A23" s="3" t="s">
        <v>87</v>
      </c>
      <c r="B23" s="3" t="s">
        <v>79</v>
      </c>
      <c r="C23" t="s">
        <v>23</v>
      </c>
      <c r="D23" t="s">
        <v>60</v>
      </c>
      <c r="E23" t="s">
        <v>42</v>
      </c>
      <c r="F23">
        <v>11</v>
      </c>
      <c r="G23" t="s">
        <v>20</v>
      </c>
      <c r="H23" t="s">
        <v>20</v>
      </c>
      <c r="I23" t="s">
        <v>22</v>
      </c>
      <c r="J23" t="s">
        <v>20</v>
      </c>
      <c r="K23" t="s">
        <v>20</v>
      </c>
      <c r="L23" t="s">
        <v>20</v>
      </c>
      <c r="M23" t="s">
        <v>20</v>
      </c>
      <c r="N23" t="s">
        <v>20</v>
      </c>
      <c r="O23" t="s">
        <v>26</v>
      </c>
      <c r="P23" t="s">
        <v>34</v>
      </c>
      <c r="Q23" t="s">
        <v>22</v>
      </c>
      <c r="R23" t="s">
        <v>89</v>
      </c>
    </row>
    <row r="24" spans="1:18" x14ac:dyDescent="0.35">
      <c r="A24" s="3" t="s">
        <v>88</v>
      </c>
      <c r="B24" s="3" t="s">
        <v>79</v>
      </c>
      <c r="C24" t="s">
        <v>23</v>
      </c>
      <c r="D24" t="s">
        <v>60</v>
      </c>
      <c r="E24" t="s">
        <v>42</v>
      </c>
      <c r="F24">
        <v>11</v>
      </c>
      <c r="G24" t="s">
        <v>20</v>
      </c>
      <c r="H24" t="s">
        <v>20</v>
      </c>
      <c r="I24" t="s">
        <v>22</v>
      </c>
      <c r="J24" t="s">
        <v>20</v>
      </c>
      <c r="K24" t="s">
        <v>20</v>
      </c>
      <c r="L24" t="s">
        <v>20</v>
      </c>
      <c r="M24" t="s">
        <v>20</v>
      </c>
      <c r="N24" t="s">
        <v>20</v>
      </c>
      <c r="O24" t="s">
        <v>26</v>
      </c>
      <c r="P24" t="s">
        <v>34</v>
      </c>
      <c r="Q24" t="s">
        <v>22</v>
      </c>
      <c r="R24" t="s">
        <v>89</v>
      </c>
    </row>
    <row r="25" spans="1:18" x14ac:dyDescent="0.35">
      <c r="A25" s="3" t="s">
        <v>90</v>
      </c>
      <c r="B25" s="3" t="s">
        <v>79</v>
      </c>
      <c r="C25" t="s">
        <v>23</v>
      </c>
      <c r="D25" t="s">
        <v>60</v>
      </c>
      <c r="E25" t="s">
        <v>42</v>
      </c>
      <c r="F25">
        <v>11</v>
      </c>
      <c r="G25" t="s">
        <v>20</v>
      </c>
      <c r="H25" t="s">
        <v>22</v>
      </c>
      <c r="I25" t="s">
        <v>22</v>
      </c>
      <c r="J25" t="s">
        <v>20</v>
      </c>
      <c r="K25" t="s">
        <v>20</v>
      </c>
      <c r="L25" t="s">
        <v>20</v>
      </c>
      <c r="M25" t="s">
        <v>20</v>
      </c>
      <c r="N25" t="s">
        <v>20</v>
      </c>
      <c r="O25" t="s">
        <v>26</v>
      </c>
      <c r="P25" t="s">
        <v>21</v>
      </c>
      <c r="Q25" t="s">
        <v>22</v>
      </c>
      <c r="R25" t="s">
        <v>91</v>
      </c>
    </row>
    <row r="26" spans="1:18" x14ac:dyDescent="0.35">
      <c r="A26" s="3" t="s">
        <v>90</v>
      </c>
      <c r="B26" s="3" t="s">
        <v>79</v>
      </c>
      <c r="C26" t="s">
        <v>23</v>
      </c>
      <c r="D26" t="s">
        <v>60</v>
      </c>
      <c r="E26" t="s">
        <v>42</v>
      </c>
      <c r="F26">
        <v>11</v>
      </c>
      <c r="G26" t="s">
        <v>22</v>
      </c>
      <c r="H26" t="s">
        <v>22</v>
      </c>
      <c r="I26" t="s">
        <v>22</v>
      </c>
      <c r="J26" t="s">
        <v>22</v>
      </c>
      <c r="K26" t="s">
        <v>22</v>
      </c>
      <c r="L26" t="s">
        <v>22</v>
      </c>
      <c r="M26" t="s">
        <v>22</v>
      </c>
      <c r="N26" t="s">
        <v>22</v>
      </c>
      <c r="O26" t="s">
        <v>39</v>
      </c>
      <c r="P26" t="s">
        <v>92</v>
      </c>
      <c r="Q26" t="s">
        <v>22</v>
      </c>
      <c r="R26" t="s">
        <v>93</v>
      </c>
    </row>
    <row r="27" spans="1:18" x14ac:dyDescent="0.35">
      <c r="A27" s="4" t="s">
        <v>94</v>
      </c>
      <c r="B27" s="4" t="s">
        <v>95</v>
      </c>
      <c r="C27" t="s">
        <v>23</v>
      </c>
      <c r="D27" t="s">
        <v>60</v>
      </c>
      <c r="E27" t="s">
        <v>42</v>
      </c>
      <c r="F27">
        <v>11</v>
      </c>
      <c r="G27" t="s">
        <v>22</v>
      </c>
      <c r="H27" t="s">
        <v>22</v>
      </c>
      <c r="I27" t="s">
        <v>22</v>
      </c>
      <c r="J27" t="s">
        <v>22</v>
      </c>
      <c r="K27" t="s">
        <v>22</v>
      </c>
      <c r="L27" t="s">
        <v>22</v>
      </c>
      <c r="M27" t="s">
        <v>22</v>
      </c>
      <c r="N27" t="s">
        <v>96</v>
      </c>
      <c r="O27" t="s">
        <v>39</v>
      </c>
      <c r="P27" t="s">
        <v>68</v>
      </c>
      <c r="Q27" t="s">
        <v>22</v>
      </c>
      <c r="R27" t="s">
        <v>97</v>
      </c>
    </row>
    <row r="28" spans="1:18" x14ac:dyDescent="0.35">
      <c r="A28" s="4" t="s">
        <v>100</v>
      </c>
      <c r="B28" s="4" t="s">
        <v>95</v>
      </c>
      <c r="C28" t="s">
        <v>23</v>
      </c>
      <c r="D28" t="s">
        <v>60</v>
      </c>
      <c r="E28" t="s">
        <v>42</v>
      </c>
      <c r="F28">
        <v>11</v>
      </c>
      <c r="G28" t="s">
        <v>22</v>
      </c>
      <c r="H28" t="s">
        <v>22</v>
      </c>
      <c r="I28" t="s">
        <v>22</v>
      </c>
      <c r="J28" t="s">
        <v>20</v>
      </c>
      <c r="K28" t="s">
        <v>22</v>
      </c>
      <c r="L28" t="s">
        <v>22</v>
      </c>
      <c r="M28" t="s">
        <v>22</v>
      </c>
      <c r="N28" t="s">
        <v>22</v>
      </c>
      <c r="O28" t="s">
        <v>39</v>
      </c>
      <c r="P28" t="s">
        <v>98</v>
      </c>
      <c r="Q28" t="s">
        <v>22</v>
      </c>
      <c r="R28" t="s">
        <v>99</v>
      </c>
    </row>
    <row r="29" spans="1:18" x14ac:dyDescent="0.35">
      <c r="A29" s="4" t="s">
        <v>101</v>
      </c>
      <c r="B29" s="4" t="s">
        <v>95</v>
      </c>
      <c r="C29" t="s">
        <v>23</v>
      </c>
      <c r="D29" t="s">
        <v>60</v>
      </c>
      <c r="E29" t="s">
        <v>42</v>
      </c>
      <c r="F29">
        <v>11</v>
      </c>
      <c r="G29" t="s">
        <v>20</v>
      </c>
      <c r="H29" t="s">
        <v>20</v>
      </c>
      <c r="I29" t="s">
        <v>22</v>
      </c>
      <c r="J29" t="s">
        <v>20</v>
      </c>
      <c r="K29" t="s">
        <v>20</v>
      </c>
      <c r="L29" t="s">
        <v>20</v>
      </c>
      <c r="M29" t="s">
        <v>20</v>
      </c>
      <c r="N29" t="s">
        <v>20</v>
      </c>
      <c r="O29" t="s">
        <v>26</v>
      </c>
      <c r="P29" t="s">
        <v>27</v>
      </c>
      <c r="Q29" t="s">
        <v>22</v>
      </c>
      <c r="R29" t="s">
        <v>102</v>
      </c>
    </row>
    <row r="30" spans="1:18" x14ac:dyDescent="0.35">
      <c r="A30" s="4" t="s">
        <v>103</v>
      </c>
      <c r="B30" s="4" t="s">
        <v>95</v>
      </c>
      <c r="C30" t="s">
        <v>23</v>
      </c>
      <c r="D30" t="s">
        <v>60</v>
      </c>
      <c r="E30" t="s">
        <v>42</v>
      </c>
      <c r="F30">
        <v>11</v>
      </c>
      <c r="G30" t="e">
        <f>NA()</f>
        <v>#N/A</v>
      </c>
      <c r="H30" t="e">
        <f>NA()</f>
        <v>#N/A</v>
      </c>
      <c r="I30" t="e">
        <f>NA()</f>
        <v>#N/A</v>
      </c>
      <c r="J30" t="e">
        <f>NA()</f>
        <v>#N/A</v>
      </c>
      <c r="K30" t="e">
        <f>NA()</f>
        <v>#N/A</v>
      </c>
      <c r="L30" t="e">
        <f>NA()</f>
        <v>#N/A</v>
      </c>
      <c r="M30" t="e">
        <f>NA()</f>
        <v>#N/A</v>
      </c>
      <c r="N30" t="e">
        <f>NA()</f>
        <v>#N/A</v>
      </c>
      <c r="O30" t="e">
        <f>NA()</f>
        <v>#N/A</v>
      </c>
      <c r="P30" t="e">
        <f>NA()</f>
        <v>#N/A</v>
      </c>
      <c r="Q30" t="e">
        <f>NA()</f>
        <v>#N/A</v>
      </c>
      <c r="R30" t="s">
        <v>104</v>
      </c>
    </row>
    <row r="31" spans="1:18" x14ac:dyDescent="0.35">
      <c r="A31" s="4" t="s">
        <v>105</v>
      </c>
      <c r="B31" s="4" t="s">
        <v>95</v>
      </c>
      <c r="C31" t="s">
        <v>23</v>
      </c>
      <c r="D31" t="s">
        <v>60</v>
      </c>
      <c r="E31" t="s">
        <v>42</v>
      </c>
      <c r="F31">
        <v>11</v>
      </c>
      <c r="G31" t="s">
        <v>20</v>
      </c>
      <c r="H31" t="s">
        <v>22</v>
      </c>
      <c r="I31" t="s">
        <v>22</v>
      </c>
      <c r="J31" t="s">
        <v>20</v>
      </c>
      <c r="K31" t="s">
        <v>20</v>
      </c>
      <c r="L31" t="s">
        <v>20</v>
      </c>
      <c r="M31" t="s">
        <v>20</v>
      </c>
      <c r="N31" t="s">
        <v>20</v>
      </c>
      <c r="O31" t="s">
        <v>26</v>
      </c>
      <c r="P31" t="s">
        <v>30</v>
      </c>
      <c r="Q31" t="s">
        <v>22</v>
      </c>
      <c r="R31" t="s">
        <v>106</v>
      </c>
    </row>
    <row r="32" spans="1:18" x14ac:dyDescent="0.35">
      <c r="A32" s="4" t="s">
        <v>107</v>
      </c>
      <c r="B32" s="4" t="s">
        <v>95</v>
      </c>
      <c r="C32" t="s">
        <v>23</v>
      </c>
      <c r="D32" t="s">
        <v>60</v>
      </c>
      <c r="E32" t="s">
        <v>42</v>
      </c>
      <c r="F32">
        <v>11</v>
      </c>
      <c r="G32" t="e">
        <f>NA()</f>
        <v>#N/A</v>
      </c>
      <c r="H32" t="e">
        <f>NA()</f>
        <v>#N/A</v>
      </c>
      <c r="I32" t="e">
        <f>NA()</f>
        <v>#N/A</v>
      </c>
      <c r="J32" t="e">
        <f>NA()</f>
        <v>#N/A</v>
      </c>
      <c r="K32" t="e">
        <f>NA()</f>
        <v>#N/A</v>
      </c>
      <c r="L32" t="e">
        <f>NA()</f>
        <v>#N/A</v>
      </c>
      <c r="M32" t="e">
        <f>NA()</f>
        <v>#N/A</v>
      </c>
      <c r="N32" t="e">
        <f>NA()</f>
        <v>#N/A</v>
      </c>
      <c r="O32" t="e">
        <f>NA()</f>
        <v>#N/A</v>
      </c>
      <c r="P32" t="e">
        <f>NA()</f>
        <v>#N/A</v>
      </c>
      <c r="Q32" t="e">
        <f>NA()</f>
        <v>#N/A</v>
      </c>
      <c r="R32" t="s">
        <v>104</v>
      </c>
    </row>
    <row r="33" spans="1:18" x14ac:dyDescent="0.35">
      <c r="A33" s="4" t="s">
        <v>108</v>
      </c>
      <c r="B33" s="4" t="s">
        <v>95</v>
      </c>
      <c r="C33" t="s">
        <v>23</v>
      </c>
      <c r="D33" t="s">
        <v>60</v>
      </c>
      <c r="E33" t="s">
        <v>42</v>
      </c>
      <c r="F33">
        <v>11</v>
      </c>
      <c r="G33" t="s">
        <v>22</v>
      </c>
      <c r="H33" t="s">
        <v>22</v>
      </c>
      <c r="I33" t="s">
        <v>22</v>
      </c>
      <c r="J33" t="s">
        <v>20</v>
      </c>
      <c r="K33" t="s">
        <v>20</v>
      </c>
      <c r="L33" t="s">
        <v>20</v>
      </c>
      <c r="M33" t="s">
        <v>20</v>
      </c>
      <c r="N33" t="s">
        <v>20</v>
      </c>
      <c r="O33" t="s">
        <v>43</v>
      </c>
      <c r="P33" t="s">
        <v>109</v>
      </c>
      <c r="Q33" t="s">
        <v>22</v>
      </c>
      <c r="R33" t="s">
        <v>110</v>
      </c>
    </row>
    <row r="34" spans="1:18" x14ac:dyDescent="0.35">
      <c r="A34" s="5" t="s">
        <v>111</v>
      </c>
      <c r="B34" s="5" t="s">
        <v>112</v>
      </c>
      <c r="C34" t="s">
        <v>113</v>
      </c>
      <c r="D34" t="s">
        <v>136</v>
      </c>
      <c r="E34" t="s">
        <v>42</v>
      </c>
      <c r="F34">
        <v>11</v>
      </c>
      <c r="G34" t="s">
        <v>20</v>
      </c>
      <c r="H34" t="s">
        <v>22</v>
      </c>
      <c r="I34" t="s">
        <v>22</v>
      </c>
      <c r="J34" t="s">
        <v>20</v>
      </c>
      <c r="K34" t="s">
        <v>20</v>
      </c>
      <c r="L34" t="s">
        <v>20</v>
      </c>
      <c r="M34" t="s">
        <v>20</v>
      </c>
      <c r="N34" t="e">
        <f>NA()</f>
        <v>#N/A</v>
      </c>
      <c r="O34" t="s">
        <v>61</v>
      </c>
      <c r="P34" t="s">
        <v>55</v>
      </c>
      <c r="Q34" t="s">
        <v>22</v>
      </c>
      <c r="R34" t="s">
        <v>114</v>
      </c>
    </row>
    <row r="35" spans="1:18" x14ac:dyDescent="0.35">
      <c r="A35" s="5" t="s">
        <v>115</v>
      </c>
      <c r="B35" s="5" t="s">
        <v>112</v>
      </c>
      <c r="C35" t="s">
        <v>113</v>
      </c>
      <c r="D35" t="s">
        <v>136</v>
      </c>
      <c r="E35" t="s">
        <v>42</v>
      </c>
      <c r="F35">
        <v>11</v>
      </c>
      <c r="G35" t="s">
        <v>22</v>
      </c>
      <c r="H35" t="s">
        <v>22</v>
      </c>
      <c r="I35" t="s">
        <v>22</v>
      </c>
      <c r="J35" t="s">
        <v>20</v>
      </c>
      <c r="K35" t="s">
        <v>20</v>
      </c>
      <c r="L35" t="s">
        <v>22</v>
      </c>
      <c r="M35" t="s">
        <v>20</v>
      </c>
      <c r="N35" t="e">
        <f>NA()</f>
        <v>#N/A</v>
      </c>
      <c r="O35" t="s">
        <v>43</v>
      </c>
      <c r="P35" t="s">
        <v>34</v>
      </c>
      <c r="Q35" t="s">
        <v>22</v>
      </c>
      <c r="R35" t="s">
        <v>116</v>
      </c>
    </row>
    <row r="36" spans="1:18" x14ac:dyDescent="0.35">
      <c r="A36" s="5" t="s">
        <v>117</v>
      </c>
      <c r="B36" s="5" t="s">
        <v>112</v>
      </c>
      <c r="C36" t="s">
        <v>113</v>
      </c>
      <c r="D36" t="s">
        <v>136</v>
      </c>
      <c r="E36" t="s">
        <v>42</v>
      </c>
      <c r="F36">
        <v>11</v>
      </c>
      <c r="G36" t="s">
        <v>20</v>
      </c>
      <c r="H36" t="s">
        <v>20</v>
      </c>
      <c r="I36" t="s">
        <v>22</v>
      </c>
      <c r="J36" t="s">
        <v>20</v>
      </c>
      <c r="K36" t="s">
        <v>20</v>
      </c>
      <c r="L36" t="s">
        <v>20</v>
      </c>
      <c r="M36" t="s">
        <v>20</v>
      </c>
      <c r="N36" t="e">
        <f>NA()</f>
        <v>#N/A</v>
      </c>
      <c r="O36" t="s">
        <v>26</v>
      </c>
      <c r="P36" t="s">
        <v>27</v>
      </c>
      <c r="Q36" t="s">
        <v>22</v>
      </c>
      <c r="R36" t="s">
        <v>118</v>
      </c>
    </row>
    <row r="37" spans="1:18" x14ac:dyDescent="0.35">
      <c r="A37" s="5" t="s">
        <v>119</v>
      </c>
      <c r="B37" s="5" t="s">
        <v>112</v>
      </c>
      <c r="C37" t="s">
        <v>113</v>
      </c>
      <c r="D37" t="s">
        <v>136</v>
      </c>
      <c r="E37" t="s">
        <v>42</v>
      </c>
      <c r="F37">
        <v>11</v>
      </c>
      <c r="G37" t="s">
        <v>20</v>
      </c>
      <c r="H37" t="s">
        <v>20</v>
      </c>
      <c r="I37" t="s">
        <v>22</v>
      </c>
      <c r="J37" t="s">
        <v>20</v>
      </c>
      <c r="K37" t="s">
        <v>20</v>
      </c>
      <c r="L37" t="s">
        <v>20</v>
      </c>
      <c r="M37" t="s">
        <v>20</v>
      </c>
      <c r="N37" t="e">
        <f>NA()</f>
        <v>#N/A</v>
      </c>
      <c r="O37" t="s">
        <v>61</v>
      </c>
      <c r="P37" t="s">
        <v>109</v>
      </c>
      <c r="Q37" t="s">
        <v>22</v>
      </c>
      <c r="R37" t="s">
        <v>120</v>
      </c>
    </row>
    <row r="38" spans="1:18" x14ac:dyDescent="0.35">
      <c r="A38" s="5" t="s">
        <v>121</v>
      </c>
      <c r="B38" s="5" t="s">
        <v>112</v>
      </c>
      <c r="C38" t="s">
        <v>113</v>
      </c>
      <c r="D38" t="s">
        <v>136</v>
      </c>
      <c r="E38" t="s">
        <v>42</v>
      </c>
      <c r="F38">
        <v>11</v>
      </c>
      <c r="G38" t="s">
        <v>22</v>
      </c>
      <c r="H38" t="s">
        <v>22</v>
      </c>
      <c r="I38" t="s">
        <v>22</v>
      </c>
      <c r="J38" t="s">
        <v>22</v>
      </c>
      <c r="K38" t="s">
        <v>22</v>
      </c>
      <c r="L38" t="s">
        <v>22</v>
      </c>
      <c r="M38" t="s">
        <v>22</v>
      </c>
      <c r="N38" t="e">
        <f>NA()</f>
        <v>#N/A</v>
      </c>
      <c r="O38" t="s">
        <v>39</v>
      </c>
      <c r="P38" t="s">
        <v>109</v>
      </c>
      <c r="Q38" t="s">
        <v>22</v>
      </c>
      <c r="R38" t="s">
        <v>122</v>
      </c>
    </row>
    <row r="39" spans="1:18" x14ac:dyDescent="0.35">
      <c r="A39" s="5" t="s">
        <v>123</v>
      </c>
      <c r="B39" s="5" t="s">
        <v>112</v>
      </c>
      <c r="C39" t="s">
        <v>113</v>
      </c>
      <c r="D39" t="s">
        <v>136</v>
      </c>
      <c r="E39" t="s">
        <v>42</v>
      </c>
      <c r="F39">
        <v>11</v>
      </c>
      <c r="G39" t="s">
        <v>22</v>
      </c>
      <c r="H39" t="s">
        <v>22</v>
      </c>
      <c r="I39" t="s">
        <v>22</v>
      </c>
      <c r="J39" t="s">
        <v>22</v>
      </c>
      <c r="K39" t="s">
        <v>22</v>
      </c>
      <c r="L39" t="s">
        <v>22</v>
      </c>
      <c r="M39" t="s">
        <v>22</v>
      </c>
      <c r="N39" t="e">
        <f>NA()</f>
        <v>#N/A</v>
      </c>
      <c r="O39" t="s">
        <v>39</v>
      </c>
      <c r="P39" t="s">
        <v>21</v>
      </c>
      <c r="Q39" t="s">
        <v>22</v>
      </c>
      <c r="R39" t="s">
        <v>122</v>
      </c>
    </row>
    <row r="40" spans="1:18" x14ac:dyDescent="0.35">
      <c r="A40" s="5" t="s">
        <v>124</v>
      </c>
      <c r="B40" s="5" t="s">
        <v>112</v>
      </c>
      <c r="C40" t="s">
        <v>113</v>
      </c>
      <c r="D40" t="s">
        <v>136</v>
      </c>
      <c r="E40" t="s">
        <v>42</v>
      </c>
      <c r="F40">
        <v>11</v>
      </c>
      <c r="G40" t="s">
        <v>20</v>
      </c>
      <c r="H40" t="s">
        <v>20</v>
      </c>
      <c r="I40" t="s">
        <v>22</v>
      </c>
      <c r="J40" t="s">
        <v>20</v>
      </c>
      <c r="K40" t="s">
        <v>20</v>
      </c>
      <c r="L40" t="s">
        <v>20</v>
      </c>
      <c r="M40" t="s">
        <v>20</v>
      </c>
      <c r="N40" t="e">
        <f>NA()</f>
        <v>#N/A</v>
      </c>
      <c r="O40" t="s">
        <v>61</v>
      </c>
      <c r="P40" t="s">
        <v>21</v>
      </c>
      <c r="Q40" t="s">
        <v>22</v>
      </c>
      <c r="R40" t="s">
        <v>125</v>
      </c>
    </row>
    <row r="41" spans="1:18" x14ac:dyDescent="0.35">
      <c r="A41" s="5" t="s">
        <v>126</v>
      </c>
      <c r="B41" s="5" t="s">
        <v>112</v>
      </c>
      <c r="C41" t="s">
        <v>113</v>
      </c>
      <c r="D41" t="s">
        <v>136</v>
      </c>
      <c r="E41" t="s">
        <v>42</v>
      </c>
      <c r="F41">
        <v>11</v>
      </c>
      <c r="G41" t="s">
        <v>22</v>
      </c>
      <c r="H41" t="s">
        <v>22</v>
      </c>
      <c r="I41" t="s">
        <v>22</v>
      </c>
      <c r="J41" t="s">
        <v>20</v>
      </c>
      <c r="K41" t="s">
        <v>127</v>
      </c>
      <c r="L41" t="s">
        <v>20</v>
      </c>
      <c r="M41" t="s">
        <v>20</v>
      </c>
      <c r="N41" t="e">
        <f>NA()</f>
        <v>#N/A</v>
      </c>
      <c r="O41" t="s">
        <v>26</v>
      </c>
      <c r="P41" t="s">
        <v>128</v>
      </c>
      <c r="Q41" t="s">
        <v>22</v>
      </c>
      <c r="R41" t="s">
        <v>129</v>
      </c>
    </row>
    <row r="42" spans="1:18" x14ac:dyDescent="0.35">
      <c r="A42" s="5" t="s">
        <v>130</v>
      </c>
      <c r="B42" s="5" t="s">
        <v>112</v>
      </c>
      <c r="C42" t="s">
        <v>113</v>
      </c>
      <c r="D42" t="s">
        <v>136</v>
      </c>
      <c r="E42" t="s">
        <v>42</v>
      </c>
      <c r="F42">
        <v>11</v>
      </c>
      <c r="G42" t="s">
        <v>22</v>
      </c>
      <c r="H42" t="s">
        <v>22</v>
      </c>
      <c r="I42" t="s">
        <v>22</v>
      </c>
      <c r="J42" t="s">
        <v>20</v>
      </c>
      <c r="K42" t="s">
        <v>20</v>
      </c>
      <c r="L42" t="s">
        <v>20</v>
      </c>
      <c r="M42" t="s">
        <v>20</v>
      </c>
      <c r="N42" t="e">
        <f>NA()</f>
        <v>#N/A</v>
      </c>
      <c r="O42" t="s">
        <v>43</v>
      </c>
      <c r="P42" t="s">
        <v>109</v>
      </c>
      <c r="Q42" t="s">
        <v>22</v>
      </c>
      <c r="R42" t="s">
        <v>131</v>
      </c>
    </row>
    <row r="43" spans="1:18" x14ac:dyDescent="0.35">
      <c r="A43" s="5" t="s">
        <v>132</v>
      </c>
      <c r="B43" s="5" t="s">
        <v>112</v>
      </c>
      <c r="C43" t="s">
        <v>113</v>
      </c>
      <c r="D43" t="s">
        <v>136</v>
      </c>
      <c r="E43" t="s">
        <v>42</v>
      </c>
      <c r="F43">
        <v>11</v>
      </c>
      <c r="G43" t="s">
        <v>20</v>
      </c>
      <c r="H43" t="s">
        <v>22</v>
      </c>
      <c r="I43" t="s">
        <v>22</v>
      </c>
      <c r="J43" t="s">
        <v>20</v>
      </c>
      <c r="K43" t="s">
        <v>20</v>
      </c>
      <c r="L43" t="s">
        <v>20</v>
      </c>
      <c r="M43" t="s">
        <v>20</v>
      </c>
      <c r="N43" t="e">
        <f>NA()</f>
        <v>#N/A</v>
      </c>
      <c r="O43" t="s">
        <v>61</v>
      </c>
      <c r="P43" t="s">
        <v>30</v>
      </c>
      <c r="Q43" t="s">
        <v>22</v>
      </c>
      <c r="R43" t="s">
        <v>133</v>
      </c>
    </row>
    <row r="44" spans="1:18" x14ac:dyDescent="0.35">
      <c r="A44" s="6" t="s">
        <v>135</v>
      </c>
      <c r="B44" s="6" t="s">
        <v>134</v>
      </c>
      <c r="C44" t="s">
        <v>113</v>
      </c>
      <c r="D44" t="s">
        <v>136</v>
      </c>
      <c r="E44" t="s">
        <v>25</v>
      </c>
      <c r="F44">
        <v>11</v>
      </c>
      <c r="G44" t="s">
        <v>22</v>
      </c>
      <c r="H44" t="s">
        <v>22</v>
      </c>
      <c r="I44" t="s">
        <v>22</v>
      </c>
      <c r="J44" t="s">
        <v>22</v>
      </c>
      <c r="K44" t="s">
        <v>22</v>
      </c>
      <c r="L44" t="s">
        <v>22</v>
      </c>
      <c r="M44" t="s">
        <v>22</v>
      </c>
      <c r="N44" t="e">
        <f>NA()</f>
        <v>#N/A</v>
      </c>
      <c r="O44" t="s">
        <v>39</v>
      </c>
      <c r="P44" t="s">
        <v>21</v>
      </c>
      <c r="Q44" t="s">
        <v>22</v>
      </c>
      <c r="R44" t="s">
        <v>137</v>
      </c>
    </row>
    <row r="45" spans="1:18" x14ac:dyDescent="0.35">
      <c r="A45" s="6" t="s">
        <v>138</v>
      </c>
      <c r="B45" s="6" t="s">
        <v>134</v>
      </c>
      <c r="C45" t="s">
        <v>113</v>
      </c>
      <c r="D45" t="s">
        <v>136</v>
      </c>
      <c r="E45" t="s">
        <v>25</v>
      </c>
      <c r="F45">
        <v>11</v>
      </c>
      <c r="G45" t="s">
        <v>20</v>
      </c>
      <c r="H45" t="s">
        <v>20</v>
      </c>
      <c r="I45" t="s">
        <v>20</v>
      </c>
      <c r="J45" t="s">
        <v>20</v>
      </c>
      <c r="K45" t="s">
        <v>20</v>
      </c>
      <c r="L45" t="s">
        <v>20</v>
      </c>
      <c r="M45" t="s">
        <v>20</v>
      </c>
      <c r="N45" t="e">
        <f>NA()</f>
        <v>#N/A</v>
      </c>
      <c r="O45" t="s">
        <v>61</v>
      </c>
      <c r="P45" t="s">
        <v>49</v>
      </c>
      <c r="Q45" t="s">
        <v>22</v>
      </c>
      <c r="R45" t="s">
        <v>139</v>
      </c>
    </row>
    <row r="46" spans="1:18" x14ac:dyDescent="0.35">
      <c r="A46" s="6" t="s">
        <v>138</v>
      </c>
      <c r="B46" s="6" t="s">
        <v>134</v>
      </c>
      <c r="C46" t="s">
        <v>113</v>
      </c>
      <c r="D46" t="s">
        <v>136</v>
      </c>
      <c r="E46" t="s">
        <v>25</v>
      </c>
      <c r="F46">
        <v>11</v>
      </c>
      <c r="G46" t="e">
        <f>NA()</f>
        <v>#N/A</v>
      </c>
      <c r="H46" t="e">
        <f>NA()</f>
        <v>#N/A</v>
      </c>
      <c r="I46" t="e">
        <f>NA()</f>
        <v>#N/A</v>
      </c>
      <c r="J46" t="e">
        <f>NA()</f>
        <v>#N/A</v>
      </c>
      <c r="K46" t="e">
        <f>NA()</f>
        <v>#N/A</v>
      </c>
      <c r="L46" t="e">
        <f>NA()</f>
        <v>#N/A</v>
      </c>
      <c r="M46" t="e">
        <f>NA()</f>
        <v>#N/A</v>
      </c>
      <c r="N46" t="e">
        <f>NA()</f>
        <v>#N/A</v>
      </c>
      <c r="O46" t="e">
        <f>NA()</f>
        <v>#N/A</v>
      </c>
      <c r="P46" t="e">
        <f>NA()</f>
        <v>#N/A</v>
      </c>
      <c r="Q46" t="e">
        <f>NA()</f>
        <v>#N/A</v>
      </c>
      <c r="R46" t="s">
        <v>104</v>
      </c>
    </row>
    <row r="47" spans="1:18" x14ac:dyDescent="0.35">
      <c r="A47" s="6" t="s">
        <v>140</v>
      </c>
      <c r="B47" s="6" t="s">
        <v>141</v>
      </c>
      <c r="C47" t="s">
        <v>113</v>
      </c>
      <c r="D47" t="s">
        <v>136</v>
      </c>
      <c r="E47" t="s">
        <v>25</v>
      </c>
      <c r="F47">
        <v>11</v>
      </c>
      <c r="G47" t="s">
        <v>20</v>
      </c>
      <c r="H47" t="s">
        <v>22</v>
      </c>
      <c r="I47" t="s">
        <v>22</v>
      </c>
      <c r="J47" t="s">
        <v>20</v>
      </c>
      <c r="K47" t="s">
        <v>20</v>
      </c>
      <c r="L47" t="s">
        <v>20</v>
      </c>
      <c r="M47" t="s">
        <v>20</v>
      </c>
      <c r="N47" t="e">
        <f>NA()</f>
        <v>#N/A</v>
      </c>
      <c r="O47" t="s">
        <v>43</v>
      </c>
      <c r="P47" t="s">
        <v>34</v>
      </c>
      <c r="Q47" t="s">
        <v>22</v>
      </c>
      <c r="R47" t="s">
        <v>142</v>
      </c>
    </row>
    <row r="48" spans="1:18" x14ac:dyDescent="0.35">
      <c r="A48" s="6" t="s">
        <v>143</v>
      </c>
      <c r="B48" s="6" t="s">
        <v>141</v>
      </c>
      <c r="C48" t="s">
        <v>113</v>
      </c>
      <c r="D48" t="s">
        <v>136</v>
      </c>
      <c r="E48" t="s">
        <v>25</v>
      </c>
      <c r="F48">
        <v>11</v>
      </c>
      <c r="G48" t="s">
        <v>22</v>
      </c>
      <c r="H48" t="s">
        <v>22</v>
      </c>
      <c r="I48" t="s">
        <v>22</v>
      </c>
      <c r="J48" t="s">
        <v>22</v>
      </c>
      <c r="K48" t="s">
        <v>22</v>
      </c>
      <c r="L48" t="s">
        <v>22</v>
      </c>
      <c r="M48" t="s">
        <v>22</v>
      </c>
      <c r="N48" t="e">
        <f>NA()</f>
        <v>#N/A</v>
      </c>
      <c r="O48" t="s">
        <v>39</v>
      </c>
      <c r="P48" t="s">
        <v>68</v>
      </c>
      <c r="Q48" t="s">
        <v>22</v>
      </c>
      <c r="R48" t="s">
        <v>144</v>
      </c>
    </row>
    <row r="49" spans="1:18" x14ac:dyDescent="0.35">
      <c r="A49" s="6" t="s">
        <v>145</v>
      </c>
      <c r="B49" s="6" t="s">
        <v>141</v>
      </c>
      <c r="C49" t="s">
        <v>113</v>
      </c>
      <c r="D49" t="s">
        <v>136</v>
      </c>
      <c r="E49" t="s">
        <v>25</v>
      </c>
      <c r="F49">
        <v>11</v>
      </c>
      <c r="G49" t="s">
        <v>22</v>
      </c>
      <c r="H49" t="s">
        <v>22</v>
      </c>
      <c r="I49" t="s">
        <v>22</v>
      </c>
      <c r="J49" t="s">
        <v>20</v>
      </c>
      <c r="K49" t="s">
        <v>20</v>
      </c>
      <c r="L49" t="s">
        <v>20</v>
      </c>
      <c r="M49" t="s">
        <v>20</v>
      </c>
      <c r="N49" t="e">
        <f>NA()</f>
        <v>#N/A</v>
      </c>
      <c r="O49" t="s">
        <v>26</v>
      </c>
      <c r="P49" t="s">
        <v>21</v>
      </c>
      <c r="Q49" t="s">
        <v>22</v>
      </c>
      <c r="R49" t="s">
        <v>146</v>
      </c>
    </row>
    <row r="50" spans="1:18" x14ac:dyDescent="0.35">
      <c r="A50" s="6" t="s">
        <v>147</v>
      </c>
      <c r="B50" s="6" t="s">
        <v>141</v>
      </c>
      <c r="C50" t="s">
        <v>113</v>
      </c>
      <c r="D50" t="s">
        <v>136</v>
      </c>
      <c r="E50" t="s">
        <v>25</v>
      </c>
      <c r="F50">
        <v>11</v>
      </c>
      <c r="G50" t="e">
        <f>NA()</f>
        <v>#N/A</v>
      </c>
      <c r="H50" t="e">
        <f>NA()</f>
        <v>#N/A</v>
      </c>
      <c r="I50" t="e">
        <f>NA()</f>
        <v>#N/A</v>
      </c>
      <c r="J50" t="e">
        <f>NA()</f>
        <v>#N/A</v>
      </c>
      <c r="K50" t="e">
        <f>NA()</f>
        <v>#N/A</v>
      </c>
      <c r="L50" t="e">
        <f>NA()</f>
        <v>#N/A</v>
      </c>
      <c r="M50" t="e">
        <f>NA()</f>
        <v>#N/A</v>
      </c>
      <c r="N50" t="e">
        <f>NA()</f>
        <v>#N/A</v>
      </c>
      <c r="O50" t="e">
        <f>NA()</f>
        <v>#N/A</v>
      </c>
      <c r="P50" t="e">
        <f>NA()</f>
        <v>#N/A</v>
      </c>
      <c r="Q50" t="e">
        <f>NA()</f>
        <v>#N/A</v>
      </c>
      <c r="R50" t="s">
        <v>104</v>
      </c>
    </row>
    <row r="51" spans="1:18" x14ac:dyDescent="0.35">
      <c r="A51" s="6" t="s">
        <v>148</v>
      </c>
      <c r="B51" s="6" t="s">
        <v>141</v>
      </c>
      <c r="C51" t="s">
        <v>113</v>
      </c>
      <c r="D51" t="s">
        <v>136</v>
      </c>
      <c r="E51" t="s">
        <v>25</v>
      </c>
      <c r="F51">
        <v>11</v>
      </c>
      <c r="G51" t="s">
        <v>22</v>
      </c>
      <c r="H51" t="s">
        <v>22</v>
      </c>
      <c r="I51" t="s">
        <v>22</v>
      </c>
      <c r="J51" t="s">
        <v>20</v>
      </c>
      <c r="K51" t="s">
        <v>20</v>
      </c>
      <c r="L51" t="s">
        <v>20</v>
      </c>
      <c r="M51" t="s">
        <v>20</v>
      </c>
      <c r="N51" t="e">
        <f>NA()</f>
        <v>#N/A</v>
      </c>
      <c r="O51" t="s">
        <v>26</v>
      </c>
      <c r="P51" t="s">
        <v>55</v>
      </c>
      <c r="Q51" t="s">
        <v>22</v>
      </c>
      <c r="R51" t="s">
        <v>149</v>
      </c>
    </row>
  </sheetData>
  <conditionalFormatting sqref="C1">
    <cfRule type="containsText" dxfId="18" priority="20" operator="containsText" text="Control">
      <formula>NOT(ISERROR(SEARCH("Control",C1)))</formula>
    </cfRule>
    <cfRule type="containsText" dxfId="17" priority="21" operator="containsText" text="Ouabain">
      <formula>NOT(ISERROR(SEARCH("Ouabain",C1)))</formula>
    </cfRule>
  </conditionalFormatting>
  <conditionalFormatting sqref="L1">
    <cfRule type="containsText" dxfId="16" priority="18" operator="containsText" text="Yes">
      <formula>NOT(ISERROR(SEARCH("Yes",L1)))</formula>
    </cfRule>
    <cfRule type="containsText" dxfId="15" priority="19" operator="containsText" text="No">
      <formula>NOT(ISERROR(SEARCH("No",L1)))</formula>
    </cfRule>
  </conditionalFormatting>
  <conditionalFormatting sqref="I1">
    <cfRule type="containsText" dxfId="14" priority="16" operator="containsText" text="No">
      <formula>NOT(ISERROR(SEARCH("No",I1)))</formula>
    </cfRule>
    <cfRule type="containsText" dxfId="13" priority="17" operator="containsText" text="Yes">
      <formula>NOT(ISERROR(SEARCH("Yes",I1)))</formula>
    </cfRule>
  </conditionalFormatting>
  <conditionalFormatting sqref="H1">
    <cfRule type="containsText" dxfId="12" priority="14" operator="containsText" text="Yes">
      <formula>NOT(ISERROR(SEARCH("Yes",H1)))</formula>
    </cfRule>
    <cfRule type="containsText" dxfId="11" priority="15" operator="containsText" text="No">
      <formula>NOT(ISERROR(SEARCH("No",H1)))</formula>
    </cfRule>
  </conditionalFormatting>
  <conditionalFormatting sqref="M1:N1">
    <cfRule type="containsText" dxfId="10" priority="13" operator="containsText" text="No">
      <formula>NOT(ISERROR(SEARCH("No",M1)))</formula>
    </cfRule>
  </conditionalFormatting>
  <conditionalFormatting sqref="L3 P3">
    <cfRule type="containsText" dxfId="9" priority="9" operator="containsText" text="Yes">
      <formula>NOT(ISERROR(SEARCH("Yes",L3)))</formula>
    </cfRule>
    <cfRule type="containsText" dxfId="8" priority="10" operator="containsText" text="No">
      <formula>NOT(ISERROR(SEARCH("No",L3)))</formula>
    </cfRule>
  </conditionalFormatting>
  <conditionalFormatting sqref="M3:N3">
    <cfRule type="containsText" dxfId="7" priority="8" operator="containsText" text="No">
      <formula>NOT(ISERROR(SEARCH("No",M3)))</formula>
    </cfRule>
  </conditionalFormatting>
  <conditionalFormatting sqref="I3:K3 O3">
    <cfRule type="containsText" dxfId="6" priority="6" operator="containsText" text="No">
      <formula>NOT(ISERROR(SEARCH("No",I3)))</formula>
    </cfRule>
    <cfRule type="containsText" dxfId="5" priority="7" operator="containsText" text="Yes">
      <formula>NOT(ISERROR(SEARCH("Yes",I3)))</formula>
    </cfRule>
  </conditionalFormatting>
  <conditionalFormatting sqref="H3">
    <cfRule type="containsText" dxfId="4" priority="4" operator="containsText" text="Yes">
      <formula>NOT(ISERROR(SEARCH("Yes",H3)))</formula>
    </cfRule>
    <cfRule type="containsText" dxfId="3" priority="5" operator="containsText" text="No">
      <formula>NOT(ISERROR(SEARCH("No",H3)))</formula>
    </cfRule>
  </conditionalFormatting>
  <conditionalFormatting sqref="M3:N3">
    <cfRule type="containsText" dxfId="2" priority="3" operator="containsText" text="No">
      <formula>NOT(ISERROR(SEARCH("No",M3)))</formula>
    </cfRule>
  </conditionalFormatting>
  <conditionalFormatting sqref="M1:M1048576">
    <cfRule type="containsText" dxfId="1" priority="2" operator="containsText" text="No">
      <formula>NOT(ISERROR(SEARCH("No",M1)))</formula>
    </cfRule>
  </conditionalFormatting>
  <conditionalFormatting sqref="N1:N1048576">
    <cfRule type="containsText" dxfId="0" priority="1" operator="containsText" text="No">
      <formula>NOT(ISERROR(SEARCH("No",N1)))</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Samuel</dc:creator>
  <cp:lastModifiedBy>Samuel</cp:lastModifiedBy>
  <dcterms:created xsi:type="dcterms:W3CDTF">2024-04-04T11:45:18Z</dcterms:created>
  <dcterms:modified xsi:type="dcterms:W3CDTF">2024-04-20T11:47:09Z</dcterms:modified>
</cp:coreProperties>
</file>